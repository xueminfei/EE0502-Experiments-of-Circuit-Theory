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3 叠加定理和戴维宁定理\"/>
    </mc:Choice>
  </mc:AlternateContent>
  <xr:revisionPtr revIDLastSave="0" documentId="13_ncr:1_{EA75C94C-C93B-466A-934B-E38F0BF7073A}" xr6:coauthVersionLast="47" xr6:coauthVersionMax="47" xr10:uidLastSave="{00000000-0000-0000-0000-000000000000}"/>
  <bookViews>
    <workbookView xWindow="768" yWindow="708" windowWidth="19200" windowHeight="1120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P10" i="1"/>
  <c r="P9" i="1"/>
  <c r="P8" i="1"/>
  <c r="P7" i="1"/>
  <c r="P6" i="1"/>
  <c r="P5" i="1"/>
  <c r="P4" i="1"/>
  <c r="P3" i="1"/>
  <c r="P2" i="1"/>
  <c r="C11" i="1"/>
  <c r="D11" i="1"/>
  <c r="E11" i="1"/>
  <c r="F11" i="1"/>
  <c r="G11" i="1"/>
  <c r="H11" i="1"/>
  <c r="I11" i="1"/>
  <c r="J11" i="1"/>
  <c r="K11" i="1"/>
  <c r="B11" i="1"/>
  <c r="D5" i="1"/>
  <c r="D6" i="1" s="1"/>
  <c r="E5" i="1"/>
  <c r="E6" i="1" s="1"/>
  <c r="C5" i="1"/>
  <c r="C6" i="1" s="1"/>
  <c r="B5" i="1"/>
  <c r="B6" i="1" s="1"/>
</calcChain>
</file>

<file path=xl/sharedStrings.xml><?xml version="1.0" encoding="utf-8"?>
<sst xmlns="http://schemas.openxmlformats.org/spreadsheetml/2006/main" count="19" uniqueCount="8">
  <si>
    <t>/V</t>
  </si>
  <si>
    <t>/mA</t>
  </si>
  <si>
    <t xml:space="preserve"> </t>
  </si>
  <si>
    <t>+</t>
  </si>
  <si>
    <t>叠加误差</t>
  </si>
  <si>
    <t>/Ω</t>
  </si>
  <si>
    <t>P/W</t>
  </si>
  <si>
    <t>/mA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</si>
</sst>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2" fontId="3" fillId="0" borderId="5" xfId="0" applyNumberFormat="1" applyFont="1" applyBorder="1" applyAlignment="1">
      <alignment vertical="center" wrapText="1"/>
    </xf>
    <xf numFmtId="10" fontId="3" fillId="0" borderId="5" xfId="1" applyNumberFormat="1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 wrapText="1"/>
    </xf>
    <xf numFmtId="182" fontId="3" fillId="0" borderId="5" xfId="0" applyNumberFormat="1" applyFont="1" applyBorder="1" applyAlignment="1">
      <alignment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243840</xdr:colOff>
      <xdr:row>0</xdr:row>
      <xdr:rowOff>198120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B100E6C-87D0-44CC-BAFD-A5A3ED11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2438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236220</xdr:colOff>
      <xdr:row>0</xdr:row>
      <xdr:rowOff>198120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F50A7BE-C2C8-490F-8597-A5D6DCB3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2362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243840</xdr:colOff>
      <xdr:row>0</xdr:row>
      <xdr:rowOff>198120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80D80C9-0D40-468F-B504-DD3AE3C3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2438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198120</xdr:colOff>
      <xdr:row>0</xdr:row>
      <xdr:rowOff>198120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D5A4CA8-0EEF-461B-BDA3-17E39F20B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98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220980</xdr:colOff>
      <xdr:row>1</xdr:row>
      <xdr:rowOff>198120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2D28F2AE-6D2B-451F-B64A-CD93C5D6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220980</xdr:colOff>
      <xdr:row>2</xdr:row>
      <xdr:rowOff>198120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AD85874-DC02-4891-8252-D40B8F0D8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220980</xdr:colOff>
      <xdr:row>4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39925C1-6421-4957-BB22-20B96B57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220980</xdr:colOff>
      <xdr:row>4</xdr:row>
      <xdr:rowOff>15240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457961E-718C-46C3-B256-2D036C02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83820</xdr:colOff>
      <xdr:row>5</xdr:row>
      <xdr:rowOff>198120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22EA1F3-963A-4498-B2B8-15B92154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"/>
          <a:ext cx="838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243840</xdr:colOff>
      <xdr:row>0</xdr:row>
      <xdr:rowOff>198120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900A67C2-8425-4C5A-9CFE-B6CFD0B5A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" y="0"/>
          <a:ext cx="2438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236220</xdr:colOff>
      <xdr:row>0</xdr:row>
      <xdr:rowOff>198120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562289F9-F2CA-4A90-98EF-8F8F2967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0"/>
          <a:ext cx="2362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243840</xdr:colOff>
      <xdr:row>0</xdr:row>
      <xdr:rowOff>198120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05ED586-B80F-4530-84EF-5C2879530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0"/>
          <a:ext cx="2438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198120</xdr:colOff>
      <xdr:row>0</xdr:row>
      <xdr:rowOff>198120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24837060-70D5-4161-84F3-2D1324E0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2480" y="0"/>
          <a:ext cx="198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220980</xdr:colOff>
      <xdr:row>1</xdr:row>
      <xdr:rowOff>198120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4845D48-E566-4F66-9602-1B806EE3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220980</xdr:colOff>
      <xdr:row>2</xdr:row>
      <xdr:rowOff>198120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4B62276-8CBC-4C9B-99B6-DC97C359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220980</xdr:colOff>
      <xdr:row>4</xdr:row>
      <xdr:rowOff>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31F45BB5-89C9-49D3-A384-8C3D2FFE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220980</xdr:colOff>
      <xdr:row>4</xdr:row>
      <xdr:rowOff>15240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1893F52C-9881-4CF0-8A61-F6291E614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"/>
          <a:ext cx="2209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83820</xdr:colOff>
      <xdr:row>5</xdr:row>
      <xdr:rowOff>198120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431323D5-D321-40FA-9485-EDB5836C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"/>
          <a:ext cx="838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160020</xdr:colOff>
      <xdr:row>7</xdr:row>
      <xdr:rowOff>198120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BEE437E8-FD2B-4231-96A6-DE6FE39EF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84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144780</xdr:colOff>
      <xdr:row>7</xdr:row>
      <xdr:rowOff>198120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59CAFE7E-F27D-4055-9E49-EDD34BC58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1386840"/>
          <a:ext cx="1447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175260</xdr:colOff>
      <xdr:row>8</xdr:row>
      <xdr:rowOff>198120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BF700B39-BD8D-48E8-81D0-62637A4DA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5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129540</xdr:colOff>
      <xdr:row>9</xdr:row>
      <xdr:rowOff>198120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3BC1F54-F986-4CCD-BFEC-5229F496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B1" workbookViewId="0">
      <selection activeCell="M23" sqref="M23"/>
    </sheetView>
  </sheetViews>
  <sheetFormatPr defaultRowHeight="13.8" x14ac:dyDescent="0.25"/>
  <cols>
    <col min="1" max="1" width="14.109375" customWidth="1"/>
    <col min="2" max="2" width="8.6640625" customWidth="1"/>
    <col min="3" max="4" width="8.88671875" customWidth="1"/>
    <col min="5" max="5" width="8.109375" customWidth="1"/>
  </cols>
  <sheetData>
    <row r="1" spans="1:16" ht="16.2" thickBot="1" x14ac:dyDescent="0.3">
      <c r="A1" s="1"/>
      <c r="B1" s="2" t="s">
        <v>0</v>
      </c>
      <c r="C1" s="2" t="s">
        <v>0</v>
      </c>
      <c r="D1" s="2" t="s">
        <v>0</v>
      </c>
      <c r="E1" s="2" t="s">
        <v>1</v>
      </c>
      <c r="M1" s="1" t="s">
        <v>5</v>
      </c>
      <c r="N1" s="3" t="s">
        <v>0</v>
      </c>
      <c r="O1" s="3" t="s">
        <v>7</v>
      </c>
      <c r="P1" s="3" t="s">
        <v>6</v>
      </c>
    </row>
    <row r="2" spans="1:16" ht="16.2" thickBot="1" x14ac:dyDescent="0.3">
      <c r="A2" s="3" t="s">
        <v>2</v>
      </c>
      <c r="B2" s="7">
        <v>8.6300000000000008</v>
      </c>
      <c r="C2" s="7">
        <v>1.83</v>
      </c>
      <c r="D2" s="7">
        <v>-6.79</v>
      </c>
      <c r="E2" s="6">
        <v>-45</v>
      </c>
      <c r="M2" s="2">
        <v>50</v>
      </c>
      <c r="N2" s="7">
        <v>-6.02</v>
      </c>
      <c r="O2" s="6">
        <v>-120</v>
      </c>
      <c r="P2" s="10">
        <f>N2*O2</f>
        <v>722.4</v>
      </c>
    </row>
    <row r="3" spans="1:16" ht="16.2" thickBot="1" x14ac:dyDescent="0.3">
      <c r="A3" s="3" t="s">
        <v>2</v>
      </c>
      <c r="B3" s="7">
        <v>-2.2200000000000002</v>
      </c>
      <c r="C3" s="7">
        <v>-6.71</v>
      </c>
      <c r="D3" s="7">
        <v>-4.49</v>
      </c>
      <c r="E3" s="6">
        <v>-29</v>
      </c>
      <c r="M3" s="2">
        <v>70</v>
      </c>
      <c r="N3" s="7">
        <v>-7.51</v>
      </c>
      <c r="O3" s="6">
        <v>-107</v>
      </c>
      <c r="P3" s="10">
        <f>N3*O3</f>
        <v>803.56999999999994</v>
      </c>
    </row>
    <row r="4" spans="1:16" ht="13.8" customHeight="1" thickBot="1" x14ac:dyDescent="0.3">
      <c r="A4" s="5" t="s">
        <v>3</v>
      </c>
      <c r="B4" s="9">
        <v>6.4</v>
      </c>
      <c r="C4" s="9">
        <v>-4.88</v>
      </c>
      <c r="D4" s="9">
        <v>-11.28</v>
      </c>
      <c r="E4" s="5">
        <v>-74</v>
      </c>
      <c r="M4" s="2">
        <v>90</v>
      </c>
      <c r="N4" s="7">
        <v>-8.7200000000000006</v>
      </c>
      <c r="O4" s="6">
        <v>-96</v>
      </c>
      <c r="P4" s="10">
        <f>N4*O4</f>
        <v>837.12000000000012</v>
      </c>
    </row>
    <row r="5" spans="1:16" ht="16.2" thickBot="1" x14ac:dyDescent="0.3">
      <c r="A5" s="4" t="s">
        <v>4</v>
      </c>
      <c r="B5" s="7">
        <f>B2+B3-B4</f>
        <v>9.9999999999997868E-3</v>
      </c>
      <c r="C5" s="7">
        <f>C2+C3-C4</f>
        <v>0</v>
      </c>
      <c r="D5" s="7">
        <f>D2+D3-D4</f>
        <v>0</v>
      </c>
      <c r="E5" s="6">
        <f>E2+E3-E4</f>
        <v>0</v>
      </c>
      <c r="M5" s="2">
        <v>100</v>
      </c>
      <c r="N5" s="7">
        <v>-9.24</v>
      </c>
      <c r="O5" s="6">
        <v>-92</v>
      </c>
      <c r="P5" s="10">
        <f>N5*O5</f>
        <v>850.08</v>
      </c>
    </row>
    <row r="6" spans="1:16" ht="16.2" thickBot="1" x14ac:dyDescent="0.3">
      <c r="A6" s="3" t="s">
        <v>2</v>
      </c>
      <c r="B6" s="8">
        <f>B5/B4</f>
        <v>1.5624999999999667E-3</v>
      </c>
      <c r="C6" s="8">
        <f>C5/C4</f>
        <v>0</v>
      </c>
      <c r="D6" s="8">
        <f>D5/D4</f>
        <v>0</v>
      </c>
      <c r="E6" s="8">
        <f>E5/E4</f>
        <v>0</v>
      </c>
      <c r="M6" s="2" t="s">
        <v>2</v>
      </c>
      <c r="N6" s="7">
        <v>-10</v>
      </c>
      <c r="O6" s="6">
        <v>-85</v>
      </c>
      <c r="P6" s="10">
        <f>N6*O6</f>
        <v>850</v>
      </c>
    </row>
    <row r="7" spans="1:16" ht="16.2" thickBot="1" x14ac:dyDescent="0.3">
      <c r="M7" s="2">
        <v>130</v>
      </c>
      <c r="N7" s="7">
        <v>-10.54</v>
      </c>
      <c r="O7" s="6">
        <v>-81</v>
      </c>
      <c r="P7" s="10">
        <f>N7*O7</f>
        <v>853.7399999999999</v>
      </c>
    </row>
    <row r="8" spans="1:16" ht="16.2" thickBot="1" x14ac:dyDescent="0.3">
      <c r="A8" s="1" t="s">
        <v>5</v>
      </c>
      <c r="B8" s="2">
        <v>50</v>
      </c>
      <c r="C8" s="2">
        <v>70</v>
      </c>
      <c r="D8" s="2">
        <v>90</v>
      </c>
      <c r="E8" s="2">
        <v>100</v>
      </c>
      <c r="F8" s="2" t="s">
        <v>2</v>
      </c>
      <c r="G8" s="2">
        <v>130</v>
      </c>
      <c r="H8" s="2">
        <v>150</v>
      </c>
      <c r="I8" s="2">
        <v>180</v>
      </c>
      <c r="J8" s="2">
        <v>200</v>
      </c>
      <c r="K8" s="2">
        <v>250</v>
      </c>
      <c r="M8" s="2">
        <v>150</v>
      </c>
      <c r="N8" s="7">
        <v>-11.24</v>
      </c>
      <c r="O8" s="6">
        <v>-75</v>
      </c>
      <c r="P8" s="10">
        <f>N8*O8</f>
        <v>843</v>
      </c>
    </row>
    <row r="9" spans="1:16" ht="16.2" thickBot="1" x14ac:dyDescent="0.3">
      <c r="A9" s="3" t="s">
        <v>0</v>
      </c>
      <c r="B9" s="7">
        <v>-6.02</v>
      </c>
      <c r="C9" s="7">
        <v>-7.51</v>
      </c>
      <c r="D9" s="7">
        <v>-8.7200000000000006</v>
      </c>
      <c r="E9" s="7">
        <v>-9.24</v>
      </c>
      <c r="F9" s="7">
        <v>-10</v>
      </c>
      <c r="G9" s="7">
        <v>-10.54</v>
      </c>
      <c r="H9" s="7">
        <v>-11.24</v>
      </c>
      <c r="I9" s="7">
        <v>-12.12</v>
      </c>
      <c r="J9" s="7">
        <v>-12.62</v>
      </c>
      <c r="K9" s="7">
        <v>-13.62</v>
      </c>
      <c r="M9" s="2">
        <v>180</v>
      </c>
      <c r="N9" s="7">
        <v>-12.12</v>
      </c>
      <c r="O9" s="6">
        <v>-67</v>
      </c>
      <c r="P9" s="10">
        <f>N9*O9</f>
        <v>812.04</v>
      </c>
    </row>
    <row r="10" spans="1:16" ht="16.2" thickBot="1" x14ac:dyDescent="0.3">
      <c r="A10" s="3" t="s">
        <v>0</v>
      </c>
      <c r="B10" s="6">
        <v>-120</v>
      </c>
      <c r="C10" s="6">
        <v>-107</v>
      </c>
      <c r="D10" s="6">
        <v>-96</v>
      </c>
      <c r="E10" s="6">
        <v>-92</v>
      </c>
      <c r="F10" s="6">
        <v>-85</v>
      </c>
      <c r="G10" s="6">
        <v>-81</v>
      </c>
      <c r="H10" s="6">
        <v>-75</v>
      </c>
      <c r="I10" s="6">
        <v>-67</v>
      </c>
      <c r="J10" s="6">
        <v>-63</v>
      </c>
      <c r="K10" s="6">
        <v>-55</v>
      </c>
      <c r="M10" s="2">
        <v>200</v>
      </c>
      <c r="N10" s="7">
        <v>-12.62</v>
      </c>
      <c r="O10" s="6">
        <v>-63</v>
      </c>
      <c r="P10" s="10">
        <f>N10*O10</f>
        <v>795.06</v>
      </c>
    </row>
    <row r="11" spans="1:16" ht="16.2" thickBot="1" x14ac:dyDescent="0.3">
      <c r="A11" s="3" t="s">
        <v>6</v>
      </c>
      <c r="B11" s="10">
        <f>B9*B10</f>
        <v>722.4</v>
      </c>
      <c r="C11" s="10">
        <f t="shared" ref="C11:K11" si="0">C9*C10</f>
        <v>803.56999999999994</v>
      </c>
      <c r="D11" s="10">
        <f t="shared" si="0"/>
        <v>837.12000000000012</v>
      </c>
      <c r="E11" s="10">
        <f t="shared" si="0"/>
        <v>850.08</v>
      </c>
      <c r="F11" s="10">
        <f t="shared" si="0"/>
        <v>850</v>
      </c>
      <c r="G11" s="10">
        <f t="shared" si="0"/>
        <v>853.7399999999999</v>
      </c>
      <c r="H11" s="10">
        <f t="shared" si="0"/>
        <v>843</v>
      </c>
      <c r="I11" s="10">
        <f t="shared" si="0"/>
        <v>812.04</v>
      </c>
      <c r="J11" s="10">
        <f t="shared" si="0"/>
        <v>795.06</v>
      </c>
      <c r="K11" s="10">
        <f t="shared" si="0"/>
        <v>749.09999999999991</v>
      </c>
      <c r="M11" s="2">
        <v>250</v>
      </c>
      <c r="N11" s="7">
        <v>-13.62</v>
      </c>
      <c r="O11" s="6">
        <v>-55</v>
      </c>
      <c r="P11" s="10">
        <f>N11*O11</f>
        <v>749.09999999999991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2025-11-15T07:27:57Z</dcterms:modified>
</cp:coreProperties>
</file>