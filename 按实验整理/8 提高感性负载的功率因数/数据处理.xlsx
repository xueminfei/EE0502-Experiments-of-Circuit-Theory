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Users\Murphy\My Files\大学\14 大一\1 秋季学期\2 实验课\电路实验\8 提高感性负载的功率因数\"/>
    </mc:Choice>
  </mc:AlternateContent>
  <xr:revisionPtr revIDLastSave="0" documentId="13_ncr:1_{77B4F1A4-42AD-48AC-A8A9-B0ED44DEE088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6" i="1" l="1"/>
  <c r="C7" i="1" s="1"/>
  <c r="D6" i="1"/>
  <c r="D7" i="1" s="1"/>
  <c r="E6" i="1"/>
  <c r="E7" i="1" s="1"/>
  <c r="F6" i="1"/>
  <c r="F7" i="1" s="1"/>
  <c r="G6" i="1"/>
  <c r="G7" i="1" s="1"/>
  <c r="H6" i="1"/>
  <c r="H7" i="1" s="1"/>
  <c r="I6" i="1"/>
  <c r="I7" i="1" s="1"/>
  <c r="J6" i="1"/>
  <c r="J7" i="1" s="1"/>
  <c r="B6" i="1"/>
  <c r="B7" i="1" s="1"/>
</calcChain>
</file>

<file path=xl/sharedStrings.xml><?xml version="1.0" encoding="utf-8"?>
<sst xmlns="http://schemas.openxmlformats.org/spreadsheetml/2006/main" count="10" uniqueCount="7">
  <si>
    <t>C/μF</t>
  </si>
  <si>
    <t>I/A</t>
  </si>
  <si>
    <t>P/W</t>
  </si>
  <si>
    <t>cosφ</t>
  </si>
  <si>
    <t>φ</t>
  </si>
  <si>
    <t>I_L/A</t>
    <phoneticPr fontId="3" type="noConversion"/>
  </si>
  <si>
    <t>I_C/A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</si>
</sst>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6" formatCode="0.000"/>
  </numFmts>
  <fonts count="4" x14ac:knownFonts="1">
    <font>
      <sz val="11"/>
      <color theme="1"/>
      <name val="等线"/>
      <family val="2"/>
      <scheme val="minor"/>
    </font>
    <font>
      <b/>
      <sz val="10.5"/>
      <color theme="1"/>
      <name val="Times New Roman"/>
      <family val="1"/>
    </font>
    <font>
      <sz val="10.5"/>
      <color theme="1"/>
      <name val="Times New Roman"/>
      <family val="1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righ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right" vertical="center" wrapText="1"/>
    </xf>
    <xf numFmtId="0" fontId="2" fillId="0" borderId="4" xfId="0" applyFont="1" applyBorder="1" applyAlignment="1">
      <alignment vertical="center" wrapText="1"/>
    </xf>
    <xf numFmtId="186" fontId="2" fillId="0" borderId="4" xfId="0" applyNumberFormat="1" applyFont="1" applyBorder="1" applyAlignment="1">
      <alignment vertical="center" wrapText="1"/>
    </xf>
    <xf numFmtId="2" fontId="2" fillId="0" borderId="4" xfId="0" applyNumberFormat="1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"/>
  <sheetViews>
    <sheetView tabSelected="1" zoomScaleNormal="100" workbookViewId="0">
      <selection activeCell="W8" sqref="W8"/>
    </sheetView>
  </sheetViews>
  <sheetFormatPr defaultRowHeight="13.8" x14ac:dyDescent="0.25"/>
  <cols>
    <col min="2" max="10" width="13.44140625" bestFit="1" customWidth="1"/>
  </cols>
  <sheetData>
    <row r="1" spans="1:15" ht="14.4" thickBot="1" x14ac:dyDescent="0.3">
      <c r="A1" s="1" t="s">
        <v>0</v>
      </c>
      <c r="B1" s="2">
        <v>1</v>
      </c>
      <c r="C1" s="2">
        <v>2</v>
      </c>
      <c r="D1" s="2">
        <v>3</v>
      </c>
      <c r="E1" s="2">
        <v>3.7</v>
      </c>
      <c r="F1" s="2">
        <v>4</v>
      </c>
      <c r="G1" s="2">
        <v>4.7</v>
      </c>
      <c r="H1" s="2">
        <v>5</v>
      </c>
      <c r="I1" s="2">
        <v>6</v>
      </c>
      <c r="J1" s="2">
        <v>7</v>
      </c>
      <c r="M1" s="1" t="s">
        <v>0</v>
      </c>
      <c r="N1" s="3" t="s">
        <v>1</v>
      </c>
      <c r="O1" t="s">
        <v>3</v>
      </c>
    </row>
    <row r="2" spans="1:15" ht="14.4" thickBot="1" x14ac:dyDescent="0.3">
      <c r="A2" s="3" t="s">
        <v>1</v>
      </c>
      <c r="B2" s="4">
        <v>0.20399999999999999</v>
      </c>
      <c r="C2" s="4">
        <v>0.20300000000000001</v>
      </c>
      <c r="D2" s="4">
        <v>0.155</v>
      </c>
      <c r="E2" s="4">
        <v>0.13600000000000001</v>
      </c>
      <c r="F2" s="4">
        <v>0.14199999999999999</v>
      </c>
      <c r="G2" s="4">
        <v>0.17199999999999999</v>
      </c>
      <c r="H2" s="4">
        <v>0.184</v>
      </c>
      <c r="I2" s="4">
        <v>0.185</v>
      </c>
      <c r="J2" s="4">
        <v>0.24299999999999999</v>
      </c>
      <c r="M2" s="2">
        <v>1</v>
      </c>
      <c r="N2" s="4">
        <v>0.20399999999999999</v>
      </c>
      <c r="O2">
        <v>0.58324874000463045</v>
      </c>
    </row>
    <row r="3" spans="1:15" ht="14.4" thickBot="1" x14ac:dyDescent="0.3">
      <c r="A3" s="3" t="s">
        <v>5</v>
      </c>
      <c r="B3" s="4">
        <v>0.26800000000000002</v>
      </c>
      <c r="C3" s="4">
        <v>0.26700000000000002</v>
      </c>
      <c r="D3" s="4">
        <v>0.26700000000000002</v>
      </c>
      <c r="E3" s="4">
        <v>0.26800000000000002</v>
      </c>
      <c r="F3" s="4">
        <v>0.26800000000000002</v>
      </c>
      <c r="G3" s="4">
        <v>0.26800000000000002</v>
      </c>
      <c r="H3" s="4">
        <v>0.26800000000000002</v>
      </c>
      <c r="I3" s="4">
        <v>0.26700000000000002</v>
      </c>
      <c r="J3" s="4">
        <v>0.26700000000000002</v>
      </c>
      <c r="M3" s="2">
        <v>2</v>
      </c>
      <c r="N3" s="4">
        <v>0.20300000000000001</v>
      </c>
      <c r="O3">
        <v>0.59283320581826637</v>
      </c>
    </row>
    <row r="4" spans="1:15" ht="14.4" thickBot="1" x14ac:dyDescent="0.3">
      <c r="A4" s="3" t="s">
        <v>6</v>
      </c>
      <c r="B4" s="4">
        <v>7.4999999999999997E-2</v>
      </c>
      <c r="C4" s="4">
        <v>7.5999999999999998E-2</v>
      </c>
      <c r="D4" s="4">
        <v>0.152</v>
      </c>
      <c r="E4" s="4">
        <v>0.27300000000000002</v>
      </c>
      <c r="F4" s="4">
        <v>0.28999999999999998</v>
      </c>
      <c r="G4" s="4">
        <v>0.34699999999999998</v>
      </c>
      <c r="H4" s="4">
        <v>0.36399999999999999</v>
      </c>
      <c r="I4" s="4">
        <v>0.36499999999999999</v>
      </c>
      <c r="J4" s="4">
        <v>0.439</v>
      </c>
      <c r="M4" s="2">
        <v>3</v>
      </c>
      <c r="N4" s="4">
        <v>0.155</v>
      </c>
      <c r="O4">
        <v>0.78228003867451879</v>
      </c>
    </row>
    <row r="5" spans="1:15" ht="14.4" thickBot="1" x14ac:dyDescent="0.3">
      <c r="A5" s="3" t="s">
        <v>2</v>
      </c>
      <c r="B5" s="4">
        <v>26.2</v>
      </c>
      <c r="C5" s="4">
        <v>26.5</v>
      </c>
      <c r="D5" s="4">
        <v>26.7</v>
      </c>
      <c r="E5" s="4">
        <v>26.4</v>
      </c>
      <c r="F5" s="4">
        <v>26.4</v>
      </c>
      <c r="G5" s="4">
        <v>26.5</v>
      </c>
      <c r="H5" s="4">
        <v>26.4</v>
      </c>
      <c r="I5" s="4">
        <v>26.6</v>
      </c>
      <c r="J5" s="4">
        <v>26.7</v>
      </c>
      <c r="M5" s="2">
        <v>3.7</v>
      </c>
      <c r="N5" s="4">
        <v>0.13600000000000001</v>
      </c>
      <c r="O5">
        <v>0.88155153069402137</v>
      </c>
    </row>
    <row r="6" spans="1:15" ht="14.4" thickBot="1" x14ac:dyDescent="0.3">
      <c r="A6" s="3" t="s">
        <v>3</v>
      </c>
      <c r="B6" s="5">
        <f>B5/(220.2*B2)</f>
        <v>0.58324874000463045</v>
      </c>
      <c r="C6" s="5">
        <f t="shared" ref="C6:J6" si="0">C5/(220.2*C2)</f>
        <v>0.59283320581826637</v>
      </c>
      <c r="D6" s="5">
        <f t="shared" si="0"/>
        <v>0.78228003867451879</v>
      </c>
      <c r="E6" s="5">
        <f t="shared" si="0"/>
        <v>0.88155153069402137</v>
      </c>
      <c r="F6" s="5">
        <f t="shared" si="0"/>
        <v>0.84430287446751362</v>
      </c>
      <c r="G6" s="5">
        <f t="shared" si="0"/>
        <v>0.69968105105295408</v>
      </c>
      <c r="H6" s="5">
        <f t="shared" si="0"/>
        <v>0.65158156616514629</v>
      </c>
      <c r="I6" s="5">
        <f t="shared" si="0"/>
        <v>0.65296904533961764</v>
      </c>
      <c r="J6" s="5">
        <f t="shared" si="0"/>
        <v>0.49898520985411693</v>
      </c>
      <c r="M6" s="2">
        <v>4</v>
      </c>
      <c r="N6" s="4">
        <v>0.14199999999999999</v>
      </c>
      <c r="O6">
        <v>0.84430287446751362</v>
      </c>
    </row>
    <row r="7" spans="1:15" ht="14.4" thickBot="1" x14ac:dyDescent="0.3">
      <c r="A7" s="3" t="s">
        <v>4</v>
      </c>
      <c r="B7" s="6">
        <f>ACOS(B6)*180/PI()</f>
        <v>54.320632368576184</v>
      </c>
      <c r="C7" s="6">
        <f t="shared" ref="C7:J7" si="1">ACOS(C6)*180/PI()</f>
        <v>53.641680087328808</v>
      </c>
      <c r="D7" s="6">
        <f t="shared" si="1"/>
        <v>38.530189752894231</v>
      </c>
      <c r="E7" s="6">
        <f t="shared" si="1"/>
        <v>28.169906250902841</v>
      </c>
      <c r="F7" s="6">
        <f t="shared" si="1"/>
        <v>32.402678600058088</v>
      </c>
      <c r="G7" s="6">
        <f t="shared" si="1"/>
        <v>45.598579719677488</v>
      </c>
      <c r="H7" s="6">
        <f t="shared" si="1"/>
        <v>49.339048412447518</v>
      </c>
      <c r="I7" s="6">
        <f t="shared" si="1"/>
        <v>49.234168980130463</v>
      </c>
      <c r="J7" s="6">
        <f t="shared" si="1"/>
        <v>60.06711529599901</v>
      </c>
      <c r="M7" s="2">
        <v>4.7</v>
      </c>
      <c r="N7" s="4">
        <v>0.17199999999999999</v>
      </c>
      <c r="O7">
        <v>0.69968105105295408</v>
      </c>
    </row>
    <row r="8" spans="1:15" ht="14.4" thickBot="1" x14ac:dyDescent="0.3">
      <c r="M8" s="2">
        <v>5</v>
      </c>
      <c r="N8" s="4">
        <v>0.184</v>
      </c>
      <c r="O8">
        <v>0.65158156616514629</v>
      </c>
    </row>
    <row r="9" spans="1:15" ht="14.4" thickBot="1" x14ac:dyDescent="0.3">
      <c r="M9" s="2">
        <v>6</v>
      </c>
      <c r="N9" s="4">
        <v>0.185</v>
      </c>
      <c r="O9">
        <v>0.65296904533961764</v>
      </c>
    </row>
    <row r="10" spans="1:15" ht="14.4" thickBot="1" x14ac:dyDescent="0.3">
      <c r="M10" s="2">
        <v>7</v>
      </c>
      <c r="N10" s="4">
        <v>0.24299999999999999</v>
      </c>
      <c r="O10">
        <v>0.49898520985411693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Murphy Sun</dc:creator>
  <cp:lastModifiedBy>Murphy Sun</cp:lastModifiedBy>
  <dcterms:created xsi:type="dcterms:W3CDTF">2015-06-05T18:19:34Z</dcterms:created>
  <dcterms:modified xsi:type="dcterms:W3CDTF">2025-12-06T07:42:34Z</dcterms:modified>
</cp:coreProperties>
</file>