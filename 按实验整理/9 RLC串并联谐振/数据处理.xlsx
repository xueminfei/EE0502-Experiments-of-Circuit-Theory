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9 RLC串并联谐振\"/>
    </mc:Choice>
  </mc:AlternateContent>
  <xr:revisionPtr revIDLastSave="0" documentId="13_ncr:1_{DA13CB75-7D0B-49ED-9106-3AA9B0C1E5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2" i="1"/>
  <c r="J6" i="3"/>
  <c r="I6" i="3"/>
  <c r="H6" i="3"/>
  <c r="G6" i="3"/>
  <c r="F6" i="3"/>
  <c r="E6" i="3"/>
  <c r="D6" i="3"/>
  <c r="C6" i="3"/>
  <c r="B6" i="3"/>
  <c r="J5" i="3"/>
  <c r="I5" i="3"/>
  <c r="H5" i="3"/>
  <c r="G5" i="3"/>
  <c r="F5" i="3"/>
  <c r="E5" i="3"/>
  <c r="D5" i="3"/>
  <c r="C5" i="3"/>
  <c r="B5" i="3"/>
  <c r="H1" i="3"/>
  <c r="C4" i="3"/>
  <c r="D4" i="3"/>
  <c r="E4" i="3"/>
  <c r="F4" i="3"/>
  <c r="G4" i="3"/>
  <c r="H4" i="3"/>
  <c r="I4" i="3"/>
  <c r="J4" i="3"/>
  <c r="B4" i="3"/>
  <c r="F2" i="3"/>
  <c r="J6" i="2"/>
  <c r="I6" i="2"/>
  <c r="H6" i="2"/>
  <c r="G6" i="2"/>
  <c r="E6" i="2"/>
  <c r="D6" i="2"/>
  <c r="C6" i="2"/>
  <c r="B6" i="2"/>
  <c r="J4" i="2"/>
  <c r="I4" i="2"/>
  <c r="H4" i="2"/>
  <c r="G4" i="2"/>
  <c r="F4" i="2"/>
  <c r="E4" i="2"/>
  <c r="D4" i="2"/>
  <c r="C4" i="2"/>
  <c r="B4" i="2"/>
  <c r="F2" i="2"/>
  <c r="F6" i="2" s="1"/>
  <c r="H1" i="2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" i="1"/>
  <c r="J4" i="1"/>
  <c r="I4" i="1"/>
  <c r="H4" i="1"/>
  <c r="G4" i="1"/>
  <c r="F4" i="1"/>
  <c r="E4" i="1"/>
  <c r="C4" i="1"/>
  <c r="D4" i="1"/>
  <c r="B4" i="1"/>
  <c r="F2" i="1"/>
  <c r="B5" i="2" l="1"/>
  <c r="E5" i="2"/>
  <c r="F5" i="2"/>
  <c r="G5" i="2"/>
  <c r="H5" i="2"/>
  <c r="C5" i="2"/>
  <c r="D5" i="2"/>
  <c r="I5" i="2"/>
  <c r="J5" i="2"/>
</calcChain>
</file>

<file path=xl/sharedStrings.xml><?xml version="1.0" encoding="utf-8"?>
<sst xmlns="http://schemas.openxmlformats.org/spreadsheetml/2006/main" count="41" uniqueCount="17">
  <si>
    <t>f/kHz</t>
    <phoneticPr fontId="1" type="noConversion"/>
  </si>
  <si>
    <t>f_0/kHz</t>
    <phoneticPr fontId="1" type="noConversion"/>
  </si>
  <si>
    <t>U_{R}/mV</t>
    <phoneticPr fontId="1" type="noConversion"/>
  </si>
  <si>
    <t>I_0/mA</t>
    <phoneticPr fontId="1" type="noConversion"/>
  </si>
  <si>
    <t>I/mA</t>
    <phoneticPr fontId="1" type="noConversion"/>
  </si>
  <si>
    <t>R/Ω</t>
    <phoneticPr fontId="1" type="noConversion"/>
  </si>
  <si>
    <t>I/I_0</t>
  </si>
  <si>
    <t>I/I_0</t>
    <phoneticPr fontId="1" type="noConversion"/>
  </si>
  <si>
    <t>f/f_0</t>
  </si>
  <si>
    <t>f/f_0</t>
    <phoneticPr fontId="1" type="noConversion"/>
  </si>
  <si>
    <t>Z/Ω</t>
    <phoneticPr fontId="1" type="noConversion"/>
  </si>
  <si>
    <t>Z_0/Ω</t>
    <phoneticPr fontId="1" type="noConversion"/>
  </si>
  <si>
    <t>|Z/Z_0|</t>
  </si>
  <si>
    <t>|Z/Z_0|</t>
    <phoneticPr fontId="1" type="noConversion"/>
  </si>
  <si>
    <t>U_{L}/mV</t>
    <phoneticPr fontId="1" type="noConversion"/>
  </si>
  <si>
    <t>U_{C}/mV</t>
    <phoneticPr fontId="1" type="noConversion"/>
  </si>
  <si>
    <t>ω/rad/s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</si>
</sst>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3" fillId="0" borderId="0" xfId="0" applyFont="1"/>
    <xf numFmtId="182" fontId="3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P12" sqref="P12"/>
    </sheetView>
  </sheetViews>
  <sheetFormatPr defaultRowHeight="14" x14ac:dyDescent="0.3"/>
  <cols>
    <col min="1" max="15" width="8.6640625" style="3"/>
    <col min="16" max="16" width="12.25" style="3" customWidth="1"/>
    <col min="17" max="16384" width="8.6640625" style="3"/>
  </cols>
  <sheetData>
    <row r="1" spans="1:18" x14ac:dyDescent="0.3">
      <c r="A1" s="1" t="s">
        <v>5</v>
      </c>
      <c r="B1" s="2">
        <v>400</v>
      </c>
      <c r="C1" s="2"/>
      <c r="D1" s="1" t="s">
        <v>1</v>
      </c>
      <c r="E1" s="2">
        <v>4.9400000000000004</v>
      </c>
      <c r="F1" s="2"/>
      <c r="G1" s="1" t="s">
        <v>3</v>
      </c>
      <c r="H1" s="2">
        <f>F4</f>
        <v>1.895</v>
      </c>
      <c r="I1" s="2"/>
      <c r="J1" s="2"/>
      <c r="M1" s="3" t="s">
        <v>8</v>
      </c>
      <c r="N1" s="3" t="s">
        <v>6</v>
      </c>
      <c r="P1" s="8" t="s">
        <v>16</v>
      </c>
      <c r="Q1" s="1" t="s">
        <v>14</v>
      </c>
      <c r="R1" s="1" t="s">
        <v>15</v>
      </c>
    </row>
    <row r="2" spans="1:18" x14ac:dyDescent="0.3">
      <c r="A2" s="1" t="s">
        <v>0</v>
      </c>
      <c r="B2" s="5">
        <v>4</v>
      </c>
      <c r="C2" s="5">
        <v>4.4000000000000004</v>
      </c>
      <c r="D2" s="5">
        <v>4.7</v>
      </c>
      <c r="E2" s="5">
        <v>4.9000000000000004</v>
      </c>
      <c r="F2" s="5">
        <f>E1</f>
        <v>4.9400000000000004</v>
      </c>
      <c r="G2" s="5">
        <v>5.0999999999999996</v>
      </c>
      <c r="H2" s="5">
        <v>5.3</v>
      </c>
      <c r="I2" s="5">
        <v>5.6</v>
      </c>
      <c r="J2" s="5">
        <v>6</v>
      </c>
      <c r="M2" s="3">
        <v>0.80971659919028338</v>
      </c>
      <c r="N2" s="3">
        <v>0.36675461741424797</v>
      </c>
      <c r="P2" s="3">
        <f>2*PI()*M2</f>
        <v>5.0875994390118109</v>
      </c>
      <c r="Q2" s="3">
        <v>1883</v>
      </c>
      <c r="R2" s="3">
        <v>2696</v>
      </c>
    </row>
    <row r="3" spans="1:18" x14ac:dyDescent="0.3">
      <c r="A3" s="1" t="s">
        <v>2</v>
      </c>
      <c r="B3" s="6">
        <v>278</v>
      </c>
      <c r="C3" s="6">
        <v>442</v>
      </c>
      <c r="D3" s="6">
        <v>646</v>
      </c>
      <c r="E3" s="6">
        <v>752</v>
      </c>
      <c r="F3" s="6">
        <v>758</v>
      </c>
      <c r="G3" s="6">
        <v>714</v>
      </c>
      <c r="H3" s="6">
        <v>587</v>
      </c>
      <c r="I3" s="6">
        <v>426</v>
      </c>
      <c r="J3" s="6">
        <v>301</v>
      </c>
      <c r="M3" s="3">
        <v>0.89068825910931171</v>
      </c>
      <c r="N3" s="3">
        <v>0.58311345646437995</v>
      </c>
      <c r="P3" s="3">
        <f t="shared" ref="P3:P10" si="0">2*PI()*M3</f>
        <v>5.5963593829129916</v>
      </c>
      <c r="Q3" s="3">
        <v>3376</v>
      </c>
      <c r="R3" s="3">
        <v>3896</v>
      </c>
    </row>
    <row r="4" spans="1:18" x14ac:dyDescent="0.3">
      <c r="A4" s="1" t="s">
        <v>4</v>
      </c>
      <c r="B4" s="4">
        <f>B3/B1</f>
        <v>0.69499999999999995</v>
      </c>
      <c r="C4" s="4">
        <f>C3/B1</f>
        <v>1.105</v>
      </c>
      <c r="D4" s="4">
        <f>D3/B1</f>
        <v>1.615</v>
      </c>
      <c r="E4" s="4">
        <f>E3/B1</f>
        <v>1.88</v>
      </c>
      <c r="F4" s="4">
        <f>F3/B1</f>
        <v>1.895</v>
      </c>
      <c r="G4" s="4">
        <f>G3/B1</f>
        <v>1.7849999999999999</v>
      </c>
      <c r="H4" s="4">
        <f>H3/B1</f>
        <v>1.4675</v>
      </c>
      <c r="I4" s="4">
        <f>I3/B1</f>
        <v>1.0649999999999999</v>
      </c>
      <c r="J4" s="4">
        <f>J3/B1</f>
        <v>0.75249999999999995</v>
      </c>
      <c r="M4" s="3">
        <v>0.95141700404858298</v>
      </c>
      <c r="N4" s="3">
        <v>0.85224274406332456</v>
      </c>
      <c r="P4" s="3">
        <f t="shared" si="0"/>
        <v>5.9779293408388776</v>
      </c>
      <c r="Q4" s="3">
        <v>5230</v>
      </c>
      <c r="R4" s="3">
        <v>5292</v>
      </c>
    </row>
    <row r="5" spans="1:18" x14ac:dyDescent="0.3">
      <c r="A5" s="1" t="s">
        <v>7</v>
      </c>
      <c r="B5" s="4">
        <f>B4/H1</f>
        <v>0.36675461741424797</v>
      </c>
      <c r="C5" s="4">
        <f>C4/H1</f>
        <v>0.58311345646437995</v>
      </c>
      <c r="D5" s="4">
        <f>D4/H1</f>
        <v>0.85224274406332456</v>
      </c>
      <c r="E5" s="4">
        <f>E4/H1</f>
        <v>0.99208443271767799</v>
      </c>
      <c r="F5" s="4">
        <f>F4/H1</f>
        <v>1</v>
      </c>
      <c r="G5" s="4">
        <f>G4/H1</f>
        <v>0.94195250659630603</v>
      </c>
      <c r="H5" s="4">
        <f>H4/H1</f>
        <v>0.77440633245382584</v>
      </c>
      <c r="I5" s="4">
        <f>I4/H1</f>
        <v>0.56200527704485481</v>
      </c>
      <c r="J5" s="4">
        <f>J4/H1</f>
        <v>0.3970976253298153</v>
      </c>
      <c r="M5" s="3">
        <v>0.9919028340080972</v>
      </c>
      <c r="N5" s="3">
        <v>0.99208443271767799</v>
      </c>
      <c r="P5" s="3">
        <f t="shared" si="0"/>
        <v>6.232309312789468</v>
      </c>
      <c r="Q5" s="3">
        <v>5931</v>
      </c>
      <c r="R5" s="3">
        <v>5825</v>
      </c>
    </row>
    <row r="6" spans="1:18" x14ac:dyDescent="0.3">
      <c r="A6" s="1" t="s">
        <v>9</v>
      </c>
      <c r="B6" s="4">
        <f>B2/E1</f>
        <v>0.80971659919028338</v>
      </c>
      <c r="C6" s="4">
        <f>C2/E1</f>
        <v>0.89068825910931171</v>
      </c>
      <c r="D6" s="4">
        <f>D2/E1</f>
        <v>0.95141700404858298</v>
      </c>
      <c r="E6" s="4">
        <f>E2/E1</f>
        <v>0.9919028340080972</v>
      </c>
      <c r="F6" s="4">
        <f>F2/E1</f>
        <v>1</v>
      </c>
      <c r="G6" s="4">
        <f>G2/E1</f>
        <v>1.0323886639676112</v>
      </c>
      <c r="H6" s="4">
        <f>H2/E1</f>
        <v>1.0728744939271253</v>
      </c>
      <c r="I6" s="4">
        <f>I2/E1</f>
        <v>1.1336032388663966</v>
      </c>
      <c r="J6" s="4">
        <f>J2/E1</f>
        <v>1.214574898785425</v>
      </c>
      <c r="M6" s="3">
        <v>1</v>
      </c>
      <c r="N6" s="3">
        <v>1</v>
      </c>
      <c r="P6" s="3">
        <f t="shared" si="0"/>
        <v>6.2831853071795862</v>
      </c>
      <c r="Q6" s="3">
        <v>5922</v>
      </c>
      <c r="R6" s="3">
        <v>5811</v>
      </c>
    </row>
    <row r="7" spans="1:18" x14ac:dyDescent="0.3">
      <c r="A7" s="1" t="s">
        <v>14</v>
      </c>
      <c r="B7" s="3">
        <v>1883</v>
      </c>
      <c r="C7" s="3">
        <v>3376</v>
      </c>
      <c r="D7" s="3">
        <v>5230</v>
      </c>
      <c r="E7" s="3">
        <v>5931</v>
      </c>
      <c r="F7" s="3">
        <v>5922</v>
      </c>
      <c r="G7" s="3">
        <v>5458</v>
      </c>
      <c r="H7" s="3">
        <v>4572</v>
      </c>
      <c r="I7" s="3">
        <v>3532</v>
      </c>
      <c r="J7" s="3">
        <v>2728</v>
      </c>
      <c r="M7" s="3">
        <v>1.0323886639676112</v>
      </c>
      <c r="N7" s="3">
        <v>0.94195250659630603</v>
      </c>
      <c r="P7" s="3">
        <f t="shared" si="0"/>
        <v>6.4866892847400575</v>
      </c>
      <c r="Q7" s="3">
        <v>5458</v>
      </c>
      <c r="R7" s="3">
        <v>5266</v>
      </c>
    </row>
    <row r="8" spans="1:18" x14ac:dyDescent="0.3">
      <c r="A8" s="1" t="s">
        <v>15</v>
      </c>
      <c r="B8" s="3">
        <v>2696</v>
      </c>
      <c r="C8" s="3">
        <v>3896</v>
      </c>
      <c r="D8" s="3">
        <v>5292</v>
      </c>
      <c r="E8" s="3">
        <v>5825</v>
      </c>
      <c r="F8" s="3">
        <v>5811</v>
      </c>
      <c r="G8" s="3">
        <v>5266</v>
      </c>
      <c r="H8" s="3">
        <v>4178</v>
      </c>
      <c r="I8" s="3">
        <v>2882</v>
      </c>
      <c r="J8" s="3">
        <v>1916</v>
      </c>
      <c r="M8" s="3">
        <v>1.0728744939271253</v>
      </c>
      <c r="N8" s="3">
        <v>0.77440633245382584</v>
      </c>
      <c r="P8" s="3">
        <f t="shared" si="0"/>
        <v>6.7410692566906478</v>
      </c>
      <c r="Q8" s="3">
        <v>4572</v>
      </c>
      <c r="R8" s="3">
        <v>4178</v>
      </c>
    </row>
    <row r="9" spans="1:18" x14ac:dyDescent="0.3">
      <c r="A9" s="3" t="s">
        <v>6</v>
      </c>
      <c r="B9" s="3">
        <v>0.36675461741424797</v>
      </c>
      <c r="C9" s="3">
        <v>0.58311345646437995</v>
      </c>
      <c r="D9" s="3">
        <v>0.85224274406332456</v>
      </c>
      <c r="E9" s="3">
        <v>0.99208443271767799</v>
      </c>
      <c r="F9" s="3">
        <v>1</v>
      </c>
      <c r="G9" s="3">
        <v>0.94195250659630603</v>
      </c>
      <c r="H9" s="3">
        <v>0.77440633245382584</v>
      </c>
      <c r="I9" s="3">
        <v>0.56200527704485481</v>
      </c>
      <c r="J9" s="3">
        <v>0.3970976253298153</v>
      </c>
      <c r="M9" s="3">
        <v>1.1336032388663966</v>
      </c>
      <c r="N9" s="3">
        <v>0.56200527704485481</v>
      </c>
      <c r="P9" s="3">
        <f t="shared" si="0"/>
        <v>7.1226392146165338</v>
      </c>
      <c r="Q9" s="3">
        <v>3532</v>
      </c>
      <c r="R9" s="3">
        <v>2882</v>
      </c>
    </row>
    <row r="10" spans="1:18" x14ac:dyDescent="0.3">
      <c r="A10" s="3" t="s">
        <v>8</v>
      </c>
      <c r="B10" s="3">
        <v>0.80971659919028338</v>
      </c>
      <c r="C10" s="3">
        <v>0.89068825910931171</v>
      </c>
      <c r="D10" s="3">
        <v>0.95141700404858298</v>
      </c>
      <c r="E10" s="3">
        <v>0.9919028340080972</v>
      </c>
      <c r="F10" s="3">
        <v>1</v>
      </c>
      <c r="G10" s="3">
        <v>1.0323886639676112</v>
      </c>
      <c r="H10" s="3">
        <v>1.0728744939271253</v>
      </c>
      <c r="I10" s="3">
        <v>1.1336032388663966</v>
      </c>
      <c r="J10" s="3">
        <v>1.214574898785425</v>
      </c>
      <c r="M10" s="3">
        <v>1.214574898785425</v>
      </c>
      <c r="N10" s="3">
        <v>0.3970976253298153</v>
      </c>
      <c r="P10" s="3">
        <f t="shared" si="0"/>
        <v>7.6313991585177154</v>
      </c>
      <c r="Q10" s="3">
        <v>2728</v>
      </c>
      <c r="R10" s="3">
        <v>1916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8077-8DBA-4D17-A4E3-22824A54EF59}">
  <dimension ref="A1:O10"/>
  <sheetViews>
    <sheetView workbookViewId="0">
      <selection activeCell="O1" sqref="O1:O10"/>
    </sheetView>
  </sheetViews>
  <sheetFormatPr defaultRowHeight="14" x14ac:dyDescent="0.3"/>
  <sheetData>
    <row r="1" spans="1:15" x14ac:dyDescent="0.3">
      <c r="A1" s="1" t="s">
        <v>5</v>
      </c>
      <c r="B1" s="2">
        <v>1000</v>
      </c>
      <c r="C1" s="2"/>
      <c r="D1" s="1" t="s">
        <v>1</v>
      </c>
      <c r="E1" s="2">
        <v>4.95</v>
      </c>
      <c r="F1" s="2"/>
      <c r="G1" s="1" t="s">
        <v>3</v>
      </c>
      <c r="H1" s="2">
        <f>F4</f>
        <v>0.88900000000000001</v>
      </c>
      <c r="I1" s="2"/>
      <c r="J1" s="2"/>
      <c r="N1" t="s">
        <v>8</v>
      </c>
      <c r="O1" t="s">
        <v>6</v>
      </c>
    </row>
    <row r="2" spans="1:15" x14ac:dyDescent="0.3">
      <c r="A2" s="1" t="s">
        <v>0</v>
      </c>
      <c r="B2" s="5">
        <v>4</v>
      </c>
      <c r="C2" s="5">
        <v>4.4000000000000004</v>
      </c>
      <c r="D2" s="5">
        <v>4.7</v>
      </c>
      <c r="E2" s="5">
        <v>4.9000000000000004</v>
      </c>
      <c r="F2" s="5">
        <f>E1</f>
        <v>4.95</v>
      </c>
      <c r="G2" s="5">
        <v>5.0999999999999996</v>
      </c>
      <c r="H2" s="5">
        <v>5.3</v>
      </c>
      <c r="I2" s="5">
        <v>5.6</v>
      </c>
      <c r="J2" s="5">
        <v>6</v>
      </c>
      <c r="N2">
        <v>0.80808080808080807</v>
      </c>
      <c r="O2">
        <v>0.64229471316085485</v>
      </c>
    </row>
    <row r="3" spans="1:15" x14ac:dyDescent="0.3">
      <c r="A3" s="1" t="s">
        <v>2</v>
      </c>
      <c r="B3" s="6">
        <v>571</v>
      </c>
      <c r="C3" s="6">
        <v>743</v>
      </c>
      <c r="D3" s="6">
        <v>854</v>
      </c>
      <c r="E3" s="6">
        <v>888</v>
      </c>
      <c r="F3" s="6">
        <v>889</v>
      </c>
      <c r="G3" s="6">
        <v>877</v>
      </c>
      <c r="H3" s="6">
        <v>831</v>
      </c>
      <c r="I3" s="6">
        <v>732</v>
      </c>
      <c r="J3" s="6">
        <v>604</v>
      </c>
      <c r="N3">
        <v>0.88888888888888895</v>
      </c>
      <c r="O3">
        <v>0.83577052868391444</v>
      </c>
    </row>
    <row r="4" spans="1:15" x14ac:dyDescent="0.3">
      <c r="A4" s="1" t="s">
        <v>4</v>
      </c>
      <c r="B4" s="4">
        <f>B3/B1</f>
        <v>0.57099999999999995</v>
      </c>
      <c r="C4" s="4">
        <f>C3/B1</f>
        <v>0.74299999999999999</v>
      </c>
      <c r="D4" s="4">
        <f>D3/B1</f>
        <v>0.85399999999999998</v>
      </c>
      <c r="E4" s="4">
        <f>E3/B1</f>
        <v>0.88800000000000001</v>
      </c>
      <c r="F4" s="4">
        <f>F3/B1</f>
        <v>0.88900000000000001</v>
      </c>
      <c r="G4" s="4">
        <f>G3/B1</f>
        <v>0.877</v>
      </c>
      <c r="H4" s="4">
        <f>H3/B1</f>
        <v>0.83099999999999996</v>
      </c>
      <c r="I4" s="4">
        <f>I3/B1</f>
        <v>0.73199999999999998</v>
      </c>
      <c r="J4" s="4">
        <f>J3/B1</f>
        <v>0.60399999999999998</v>
      </c>
      <c r="N4">
        <v>0.9494949494949495</v>
      </c>
      <c r="O4">
        <v>0.96062992125984248</v>
      </c>
    </row>
    <row r="5" spans="1:15" x14ac:dyDescent="0.3">
      <c r="A5" s="1" t="s">
        <v>7</v>
      </c>
      <c r="B5" s="4">
        <f>B4/H1</f>
        <v>0.64229471316085485</v>
      </c>
      <c r="C5" s="4">
        <f>C4/H1</f>
        <v>0.83577052868391444</v>
      </c>
      <c r="D5" s="4">
        <f>D4/H1</f>
        <v>0.96062992125984248</v>
      </c>
      <c r="E5" s="4">
        <f>E4/H1</f>
        <v>0.99887514060742411</v>
      </c>
      <c r="F5" s="4">
        <f>F4/H1</f>
        <v>1</v>
      </c>
      <c r="G5" s="4">
        <f>G4/H1</f>
        <v>0.98650168728908882</v>
      </c>
      <c r="H5" s="4">
        <f>H4/H1</f>
        <v>0.93475815523059613</v>
      </c>
      <c r="I5" s="4">
        <f>I4/H1</f>
        <v>0.82339707536557927</v>
      </c>
      <c r="J5" s="4">
        <f>J4/H1</f>
        <v>0.67941507311586047</v>
      </c>
      <c r="N5">
        <v>0.98989898989898994</v>
      </c>
      <c r="O5">
        <v>0.99887514060742411</v>
      </c>
    </row>
    <row r="6" spans="1:15" x14ac:dyDescent="0.3">
      <c r="A6" s="1" t="s">
        <v>9</v>
      </c>
      <c r="B6" s="4">
        <f>B2/E1</f>
        <v>0.80808080808080807</v>
      </c>
      <c r="C6" s="4">
        <f>C2/E1</f>
        <v>0.88888888888888895</v>
      </c>
      <c r="D6" s="4">
        <f>D2/E1</f>
        <v>0.9494949494949495</v>
      </c>
      <c r="E6" s="4">
        <f>E2/E1</f>
        <v>0.98989898989898994</v>
      </c>
      <c r="F6" s="4">
        <f>F2/E1</f>
        <v>1</v>
      </c>
      <c r="G6" s="4">
        <f>G2/E1</f>
        <v>1.0303030303030303</v>
      </c>
      <c r="H6" s="4">
        <f>H2/E1</f>
        <v>1.0707070707070707</v>
      </c>
      <c r="I6" s="4">
        <f>I2/E1</f>
        <v>1.1313131313131313</v>
      </c>
      <c r="J6" s="4">
        <f>J2/E1</f>
        <v>1.2121212121212122</v>
      </c>
      <c r="N6">
        <v>1</v>
      </c>
      <c r="O6">
        <v>1</v>
      </c>
    </row>
    <row r="7" spans="1:15" x14ac:dyDescent="0.3">
      <c r="N7">
        <v>1.0303030303030303</v>
      </c>
      <c r="O7">
        <v>0.98650168728908882</v>
      </c>
    </row>
    <row r="8" spans="1:15" x14ac:dyDescent="0.3">
      <c r="N8">
        <v>1.0707070707070707</v>
      </c>
      <c r="O8">
        <v>0.93475815523059613</v>
      </c>
    </row>
    <row r="9" spans="1:15" x14ac:dyDescent="0.3">
      <c r="A9" t="s">
        <v>6</v>
      </c>
      <c r="B9">
        <v>0.64229471316085485</v>
      </c>
      <c r="C9">
        <v>0.83577052868391444</v>
      </c>
      <c r="D9">
        <v>0.96062992125984248</v>
      </c>
      <c r="E9">
        <v>0.99887514060742411</v>
      </c>
      <c r="F9">
        <v>1</v>
      </c>
      <c r="G9">
        <v>0.98650168728908882</v>
      </c>
      <c r="H9">
        <v>0.93475815523059613</v>
      </c>
      <c r="I9">
        <v>0.82339707536557927</v>
      </c>
      <c r="J9">
        <v>0.67941507311586047</v>
      </c>
      <c r="N9">
        <v>1.1313131313131313</v>
      </c>
      <c r="O9">
        <v>0.82339707536557927</v>
      </c>
    </row>
    <row r="10" spans="1:15" x14ac:dyDescent="0.3">
      <c r="A10" t="s">
        <v>8</v>
      </c>
      <c r="B10">
        <v>0.80808080808080807</v>
      </c>
      <c r="C10">
        <v>0.88888888888888895</v>
      </c>
      <c r="D10">
        <v>0.9494949494949495</v>
      </c>
      <c r="E10">
        <v>0.98989898989898994</v>
      </c>
      <c r="F10">
        <v>1</v>
      </c>
      <c r="G10">
        <v>1.0303030303030303</v>
      </c>
      <c r="H10">
        <v>1.0707070707070707</v>
      </c>
      <c r="I10">
        <v>1.1313131313131313</v>
      </c>
      <c r="J10">
        <v>1.2121212121212122</v>
      </c>
      <c r="N10">
        <v>1.2121212121212122</v>
      </c>
      <c r="O10">
        <v>0.67941507311586047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2EF0-6590-4EA7-B04F-37926C1D211A}">
  <dimension ref="A1:O11"/>
  <sheetViews>
    <sheetView workbookViewId="0">
      <selection activeCell="N32" sqref="N32"/>
    </sheetView>
  </sheetViews>
  <sheetFormatPr defaultRowHeight="14" x14ac:dyDescent="0.3"/>
  <cols>
    <col min="1" max="16384" width="8.6640625" style="2"/>
  </cols>
  <sheetData>
    <row r="1" spans="1:15" x14ac:dyDescent="0.3">
      <c r="A1" s="1" t="s">
        <v>5</v>
      </c>
      <c r="B1" s="2">
        <v>100</v>
      </c>
      <c r="D1" s="1" t="s">
        <v>1</v>
      </c>
      <c r="E1" s="2">
        <v>4.95</v>
      </c>
      <c r="G1" s="1" t="s">
        <v>11</v>
      </c>
      <c r="H1" s="2">
        <f>F4</f>
        <v>15243.90243902439</v>
      </c>
      <c r="N1" s="2" t="s">
        <v>8</v>
      </c>
      <c r="O1" s="2" t="s">
        <v>12</v>
      </c>
    </row>
    <row r="2" spans="1:15" x14ac:dyDescent="0.3">
      <c r="A2" s="1" t="s">
        <v>0</v>
      </c>
      <c r="B2" s="5">
        <v>4.0999999999999996</v>
      </c>
      <c r="C2" s="5">
        <v>4.5</v>
      </c>
      <c r="D2" s="5">
        <v>4.8</v>
      </c>
      <c r="E2" s="5">
        <v>5</v>
      </c>
      <c r="F2" s="5">
        <f>E1</f>
        <v>4.95</v>
      </c>
      <c r="G2" s="5">
        <v>5.2</v>
      </c>
      <c r="H2" s="5">
        <v>5.4</v>
      </c>
      <c r="I2" s="5">
        <v>5.7</v>
      </c>
      <c r="J2" s="5">
        <v>6.1</v>
      </c>
      <c r="N2" s="2">
        <v>0.82828282828282818</v>
      </c>
      <c r="O2" s="2">
        <v>5.5640373197625104E-2</v>
      </c>
    </row>
    <row r="3" spans="1:15" x14ac:dyDescent="0.3">
      <c r="A3" s="1" t="s">
        <v>2</v>
      </c>
      <c r="B3" s="6">
        <v>117.9</v>
      </c>
      <c r="C3" s="6">
        <v>60.06</v>
      </c>
      <c r="D3" s="6">
        <v>19.75</v>
      </c>
      <c r="E3" s="6">
        <v>9.9700000000000006</v>
      </c>
      <c r="F3" s="6">
        <v>6.56</v>
      </c>
      <c r="G3" s="6">
        <v>33.229999999999997</v>
      </c>
      <c r="H3" s="6">
        <v>56.97</v>
      </c>
      <c r="I3" s="6">
        <v>90.85</v>
      </c>
      <c r="J3" s="6">
        <v>132.57</v>
      </c>
      <c r="N3" s="2">
        <v>0.90909090909090906</v>
      </c>
      <c r="O3" s="2">
        <v>0.10922410922410922</v>
      </c>
    </row>
    <row r="4" spans="1:15" x14ac:dyDescent="0.3">
      <c r="A4" s="7" t="s">
        <v>10</v>
      </c>
      <c r="B4" s="2">
        <f>1/B3*100*1000</f>
        <v>848.17642069550459</v>
      </c>
      <c r="C4" s="2">
        <f t="shared" ref="C4:J4" si="0">1/C3*100*1000</f>
        <v>1665.0016650016648</v>
      </c>
      <c r="D4" s="2">
        <f t="shared" si="0"/>
        <v>5063.2911392405067</v>
      </c>
      <c r="E4" s="2">
        <f t="shared" si="0"/>
        <v>10030.090270812438</v>
      </c>
      <c r="F4" s="2">
        <f t="shared" si="0"/>
        <v>15243.90243902439</v>
      </c>
      <c r="G4" s="2">
        <f t="shared" si="0"/>
        <v>3009.3289196509181</v>
      </c>
      <c r="H4" s="2">
        <f t="shared" si="0"/>
        <v>1755.3098121818502</v>
      </c>
      <c r="I4" s="2">
        <f t="shared" si="0"/>
        <v>1100.7154650522841</v>
      </c>
      <c r="J4" s="2">
        <f t="shared" si="0"/>
        <v>754.3184732594101</v>
      </c>
      <c r="N4" s="2">
        <v>0.96969696969696961</v>
      </c>
      <c r="O4" s="2">
        <v>0.33215189873417722</v>
      </c>
    </row>
    <row r="5" spans="1:15" x14ac:dyDescent="0.3">
      <c r="A5" s="7" t="s">
        <v>13</v>
      </c>
      <c r="B5" s="4">
        <f>B4/H1</f>
        <v>5.5640373197625104E-2</v>
      </c>
      <c r="C5" s="4">
        <f>C4/H1</f>
        <v>0.10922410922410922</v>
      </c>
      <c r="D5" s="4">
        <f>D4/H1</f>
        <v>0.33215189873417722</v>
      </c>
      <c r="E5" s="4">
        <f>E4/H1</f>
        <v>0.6579739217652959</v>
      </c>
      <c r="F5" s="4">
        <f>F4/H1</f>
        <v>1</v>
      </c>
      <c r="G5" s="4">
        <f>G4/H1</f>
        <v>0.19741197712910022</v>
      </c>
      <c r="H5" s="4">
        <f>H4/H1</f>
        <v>0.11514832367912937</v>
      </c>
      <c r="I5" s="4">
        <f>I4/H1</f>
        <v>7.2206934507429835E-2</v>
      </c>
      <c r="J5" s="4">
        <f>J4/H1</f>
        <v>4.9483291845817304E-2</v>
      </c>
      <c r="N5" s="2">
        <v>1.0101010101010102</v>
      </c>
      <c r="O5" s="2">
        <v>0.6579739217652959</v>
      </c>
    </row>
    <row r="6" spans="1:15" x14ac:dyDescent="0.3">
      <c r="A6" s="1" t="s">
        <v>9</v>
      </c>
      <c r="B6" s="4">
        <f>B2/E1</f>
        <v>0.82828282828282818</v>
      </c>
      <c r="C6" s="4">
        <f>C2/E1</f>
        <v>0.90909090909090906</v>
      </c>
      <c r="D6" s="4">
        <f>D2/E1</f>
        <v>0.96969696969696961</v>
      </c>
      <c r="E6" s="4">
        <f>E2/E1</f>
        <v>1.0101010101010102</v>
      </c>
      <c r="F6" s="4">
        <f>F2/E1</f>
        <v>1</v>
      </c>
      <c r="G6" s="4">
        <f>G2/E1</f>
        <v>1.0505050505050506</v>
      </c>
      <c r="H6" s="4">
        <f>H2/E1</f>
        <v>1.0909090909090911</v>
      </c>
      <c r="I6" s="4">
        <f>I2/E1</f>
        <v>1.1515151515151516</v>
      </c>
      <c r="J6" s="4">
        <f>J2/E1</f>
        <v>1.2323232323232323</v>
      </c>
      <c r="N6" s="2">
        <v>1</v>
      </c>
      <c r="O6" s="2">
        <v>1</v>
      </c>
    </row>
    <row r="7" spans="1:15" x14ac:dyDescent="0.3">
      <c r="N7" s="2">
        <v>1.0505050505050506</v>
      </c>
      <c r="O7" s="2">
        <v>0.19741197712910022</v>
      </c>
    </row>
    <row r="8" spans="1:15" x14ac:dyDescent="0.3">
      <c r="N8" s="2">
        <v>1.0909090909090911</v>
      </c>
      <c r="O8" s="2">
        <v>0.11514832367912937</v>
      </c>
    </row>
    <row r="9" spans="1:15" x14ac:dyDescent="0.3">
      <c r="N9" s="2">
        <v>1.1515151515151516</v>
      </c>
      <c r="O9" s="2">
        <v>7.2206934507429835E-2</v>
      </c>
    </row>
    <row r="10" spans="1:15" x14ac:dyDescent="0.3">
      <c r="A10" s="2" t="s">
        <v>12</v>
      </c>
      <c r="B10" s="2">
        <v>5.5640373197625104E-2</v>
      </c>
      <c r="C10" s="2">
        <v>0.10922410922410922</v>
      </c>
      <c r="D10" s="2">
        <v>0.33215189873417722</v>
      </c>
      <c r="E10" s="2">
        <v>0.6579739217652959</v>
      </c>
      <c r="F10" s="2">
        <v>1</v>
      </c>
      <c r="G10" s="2">
        <v>0.19741197712910022</v>
      </c>
      <c r="H10" s="2">
        <v>0.11514832367912937</v>
      </c>
      <c r="I10" s="2">
        <v>7.2206934507429835E-2</v>
      </c>
      <c r="J10" s="2">
        <v>4.9483291845817304E-2</v>
      </c>
      <c r="N10" s="2">
        <v>1.2323232323232323</v>
      </c>
      <c r="O10" s="2">
        <v>4.9483291845817304E-2</v>
      </c>
    </row>
    <row r="11" spans="1:15" x14ac:dyDescent="0.3">
      <c r="A11" s="2" t="s">
        <v>8</v>
      </c>
      <c r="B11" s="2">
        <v>0.82828282828282818</v>
      </c>
      <c r="C11" s="2">
        <v>0.90909090909090906</v>
      </c>
      <c r="D11" s="2">
        <v>0.96969696969696961</v>
      </c>
      <c r="E11" s="2">
        <v>1.0101010101010102</v>
      </c>
      <c r="F11" s="2">
        <v>1</v>
      </c>
      <c r="G11" s="2">
        <v>1.0505050505050506</v>
      </c>
      <c r="H11" s="2">
        <v>1.0909090909090911</v>
      </c>
      <c r="I11" s="2">
        <v>1.1515151515151516</v>
      </c>
      <c r="J11" s="2">
        <v>1.2323232323232323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2025-11-28T07:16:17Z</dcterms:modified>
</cp:coreProperties>
</file>