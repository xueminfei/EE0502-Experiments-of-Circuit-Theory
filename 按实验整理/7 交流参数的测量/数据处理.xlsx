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Murphy\My Files\大学\14 大一\1 秋季学期\2 实验课\电路实验\7 交流参数的测量\"/>
    </mc:Choice>
  </mc:AlternateContent>
  <xr:revisionPtr revIDLastSave="0" documentId="13_ncr:1_{A022D77E-381D-45DF-A48F-649868920F6B}" xr6:coauthVersionLast="47" xr6:coauthVersionMax="47" xr10:uidLastSave="{00000000-0000-0000-0000-000000000000}"/>
  <bookViews>
    <workbookView xWindow="3420" yWindow="3420" windowWidth="19200" windowHeight="1116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4" l="1"/>
  <c r="G5" i="4"/>
  <c r="H5" i="5"/>
  <c r="F5" i="5"/>
  <c r="E5" i="3"/>
  <c r="D5" i="3"/>
  <c r="D5" i="2"/>
  <c r="E5" i="1"/>
  <c r="D5" i="1"/>
  <c r="H3" i="5"/>
  <c r="H4" i="5"/>
  <c r="H2" i="5"/>
  <c r="G3" i="5"/>
  <c r="G4" i="5"/>
  <c r="G2" i="5"/>
  <c r="E4" i="5"/>
  <c r="E3" i="5"/>
  <c r="E2" i="5"/>
  <c r="F3" i="5"/>
  <c r="F4" i="5"/>
  <c r="F2" i="5"/>
  <c r="H3" i="4"/>
  <c r="H4" i="4"/>
  <c r="H2" i="4"/>
  <c r="G2" i="4"/>
  <c r="G3" i="4"/>
  <c r="G4" i="4"/>
  <c r="E3" i="3"/>
  <c r="E4" i="3"/>
  <c r="E2" i="3"/>
  <c r="G3" i="3"/>
  <c r="G4" i="3"/>
  <c r="G2" i="3"/>
  <c r="F3" i="3"/>
  <c r="F4" i="3"/>
  <c r="F2" i="3"/>
  <c r="D3" i="3"/>
  <c r="D4" i="3"/>
  <c r="D2" i="3"/>
  <c r="D3" i="2"/>
  <c r="D4" i="2"/>
  <c r="D2" i="2"/>
  <c r="E3" i="1"/>
  <c r="E4" i="1"/>
  <c r="E2" i="1"/>
  <c r="D3" i="1"/>
  <c r="D4" i="1"/>
  <c r="D2" i="1"/>
</calcChain>
</file>

<file path=xl/sharedStrings.xml><?xml version="1.0" encoding="utf-8"?>
<sst xmlns="http://schemas.openxmlformats.org/spreadsheetml/2006/main" count="32" uniqueCount="19">
  <si>
    <t>I/A</t>
    <phoneticPr fontId="2" type="noConversion"/>
  </si>
  <si>
    <t>U/V</t>
    <phoneticPr fontId="2" type="noConversion"/>
  </si>
  <si>
    <t>P/W</t>
    <phoneticPr fontId="2" type="noConversion"/>
  </si>
  <si>
    <t>R=U/I /Ω</t>
    <phoneticPr fontId="2" type="noConversion"/>
  </si>
  <si>
    <t>R=U^2/P /Ω</t>
    <phoneticPr fontId="2" type="noConversion"/>
  </si>
  <si>
    <t>C/μF</t>
    <phoneticPr fontId="2" type="noConversion"/>
  </si>
  <si>
    <t>R_L/Ω</t>
    <phoneticPr fontId="2" type="noConversion"/>
  </si>
  <si>
    <t>L/H</t>
    <phoneticPr fontId="2" type="noConversion"/>
  </si>
  <si>
    <t>z_L</t>
    <phoneticPr fontId="2" type="noConversion"/>
  </si>
  <si>
    <t>x_L</t>
    <phoneticPr fontId="2" type="noConversion"/>
  </si>
  <si>
    <t>U_R/V</t>
    <phoneticPr fontId="2" type="noConversion"/>
  </si>
  <si>
    <t>U_C/V</t>
    <phoneticPr fontId="2" type="noConversion"/>
  </si>
  <si>
    <t>U_L/V</t>
    <phoneticPr fontId="2" type="noConversion"/>
  </si>
  <si>
    <t>X</t>
    <phoneticPr fontId="2" type="noConversion"/>
  </si>
  <si>
    <t>R'</t>
    <phoneticPr fontId="2" type="noConversion"/>
  </si>
  <si>
    <t>X_L</t>
    <phoneticPr fontId="2" type="noConversion"/>
  </si>
  <si>
    <t>U_1/V</t>
    <phoneticPr fontId="2" type="noConversion"/>
  </si>
  <si>
    <t>U_2/V</t>
    <phoneticPr fontId="2" type="noConversion"/>
  </si>
  <si>
    <t>cosφ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</si>
</sst>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0.0"/>
    <numFmt numFmtId="181" formatCode="0.000"/>
    <numFmt numFmtId="185" formatCode="0.0000"/>
  </numFmts>
  <fonts count="3" x14ac:knownFonts="1">
    <font>
      <sz val="11"/>
      <color theme="1"/>
      <name val="等线"/>
      <family val="2"/>
      <scheme val="minor"/>
    </font>
    <font>
      <sz val="10.5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181" fontId="0" fillId="0" borderId="0" xfId="0" applyNumberFormat="1" applyBorder="1"/>
    <xf numFmtId="2" fontId="0" fillId="0" borderId="0" xfId="0" applyNumberFormat="1" applyBorder="1"/>
    <xf numFmtId="2" fontId="1" fillId="0" borderId="0" xfId="0" applyNumberFormat="1" applyFont="1" applyBorder="1" applyAlignment="1">
      <alignment horizontal="center" vertical="center" wrapText="1"/>
    </xf>
    <xf numFmtId="180" fontId="0" fillId="0" borderId="0" xfId="0" applyNumberFormat="1"/>
    <xf numFmtId="2" fontId="0" fillId="0" borderId="0" xfId="0" applyNumberFormat="1"/>
    <xf numFmtId="181" fontId="0" fillId="0" borderId="0" xfId="0" applyNumberFormat="1"/>
    <xf numFmtId="185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D5" sqref="D5"/>
    </sheetView>
  </sheetViews>
  <sheetFormatPr defaultRowHeight="14" x14ac:dyDescent="0.3"/>
  <cols>
    <col min="5" max="5" width="13.8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>
        <v>0.5</v>
      </c>
      <c r="B2" s="2">
        <v>51.2</v>
      </c>
      <c r="C2" s="2">
        <v>25.7</v>
      </c>
      <c r="D2" s="5">
        <f>B2/A2</f>
        <v>102.4</v>
      </c>
      <c r="E2" s="5">
        <f>B2*B2/C2</f>
        <v>102.00155642023348</v>
      </c>
    </row>
    <row r="3" spans="1:5" x14ac:dyDescent="0.3">
      <c r="A3" s="2">
        <v>0.7</v>
      </c>
      <c r="B3" s="2">
        <v>71.2</v>
      </c>
      <c r="C3" s="2">
        <v>49.9</v>
      </c>
      <c r="D3" s="5">
        <f t="shared" ref="D3:D4" si="0">B3/A3</f>
        <v>101.71428571428572</v>
      </c>
      <c r="E3" s="5">
        <f t="shared" ref="E3:E4" si="1">B3*B3/C3</f>
        <v>101.59198396793589</v>
      </c>
    </row>
    <row r="4" spans="1:5" x14ac:dyDescent="0.3">
      <c r="A4" s="2">
        <v>0.9</v>
      </c>
      <c r="B4" s="2">
        <v>91.1</v>
      </c>
      <c r="C4" s="2">
        <v>81.7</v>
      </c>
      <c r="D4" s="5">
        <f t="shared" si="0"/>
        <v>101.22222222222221</v>
      </c>
      <c r="E4" s="5">
        <f t="shared" si="1"/>
        <v>101.581517747858</v>
      </c>
    </row>
    <row r="5" spans="1:5" x14ac:dyDescent="0.3">
      <c r="A5" s="1"/>
      <c r="B5" s="1"/>
      <c r="C5" s="1"/>
      <c r="D5" s="4">
        <f>AVERAGE(D2:D4)</f>
        <v>101.77883597883597</v>
      </c>
      <c r="E5" s="4">
        <f>AVERAGE(E2:E4)</f>
        <v>101.72501937867578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0D8A-3622-45A5-9469-781C12868141}">
  <dimension ref="A1:D5"/>
  <sheetViews>
    <sheetView workbookViewId="0">
      <selection activeCell="D5" sqref="D5"/>
    </sheetView>
  </sheetViews>
  <sheetFormatPr defaultRowHeight="14" x14ac:dyDescent="0.3"/>
  <cols>
    <col min="1" max="3" width="8.6640625" style="1"/>
    <col min="4" max="4" width="12.5" style="1" bestFit="1" customWidth="1"/>
  </cols>
  <sheetData>
    <row r="1" spans="1:4" x14ac:dyDescent="0.3">
      <c r="A1" s="1" t="s">
        <v>1</v>
      </c>
      <c r="B1" s="1" t="s">
        <v>0</v>
      </c>
      <c r="C1" s="1" t="s">
        <v>2</v>
      </c>
      <c r="D1" s="1" t="s">
        <v>5</v>
      </c>
    </row>
    <row r="2" spans="1:4" x14ac:dyDescent="0.3">
      <c r="A2" s="2">
        <v>160</v>
      </c>
      <c r="B2" s="2">
        <v>0.60899999999999999</v>
      </c>
      <c r="C2" s="2">
        <v>0.2</v>
      </c>
      <c r="D2" s="3">
        <f>1000000*B2/(2*PI()*50*A2)</f>
        <v>12.115670042870532</v>
      </c>
    </row>
    <row r="3" spans="1:4" x14ac:dyDescent="0.3">
      <c r="A3" s="2">
        <v>180</v>
      </c>
      <c r="B3" s="2">
        <v>0.68100000000000005</v>
      </c>
      <c r="C3" s="2">
        <v>0.3</v>
      </c>
      <c r="D3" s="3">
        <f t="shared" ref="D3:D4" si="0">1000000*B3/(2*PI()*50*A3)</f>
        <v>12.042724027286747</v>
      </c>
    </row>
    <row r="4" spans="1:4" x14ac:dyDescent="0.3">
      <c r="A4" s="2">
        <v>200</v>
      </c>
      <c r="B4" s="2">
        <v>0.75800000000000001</v>
      </c>
      <c r="C4" s="2">
        <v>0.3</v>
      </c>
      <c r="D4" s="3">
        <f t="shared" si="0"/>
        <v>12.063944686365666</v>
      </c>
    </row>
    <row r="5" spans="1:4" x14ac:dyDescent="0.3">
      <c r="D5" s="3">
        <f>AVERAGE(D2:D4)</f>
        <v>12.074112918840981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CFE6-6D80-4213-A2F2-AC9B268A2782}">
  <dimension ref="A1:G5"/>
  <sheetViews>
    <sheetView workbookViewId="0">
      <selection activeCell="E8" sqref="E8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0.5</v>
      </c>
      <c r="B2">
        <v>9.6999999999999993</v>
      </c>
      <c r="C2">
        <v>1.3</v>
      </c>
      <c r="D2" s="8">
        <f>C2/A2/A2</f>
        <v>5.2</v>
      </c>
      <c r="E2" s="9">
        <f>G2/(2*PI()*50)</f>
        <v>5.9492449831841196E-2</v>
      </c>
      <c r="F2" s="9">
        <f>B2/A2</f>
        <v>19.399999999999999</v>
      </c>
      <c r="G2" s="9">
        <f>SQRT(F2*F2-D2*D2)</f>
        <v>18.690104333577164</v>
      </c>
    </row>
    <row r="3" spans="1:7" x14ac:dyDescent="0.3">
      <c r="A3">
        <v>0.7</v>
      </c>
      <c r="B3">
        <v>13.6</v>
      </c>
      <c r="C3">
        <v>2.6</v>
      </c>
      <c r="D3" s="8">
        <f t="shared" ref="D3:D4" si="0">C3/A3/A3</f>
        <v>5.3061224489795933</v>
      </c>
      <c r="E3" s="9">
        <f t="shared" ref="E3:E4" si="1">G3/(2*PI()*50)</f>
        <v>5.949197741845523E-2</v>
      </c>
      <c r="F3" s="9">
        <f t="shared" ref="F3:F4" si="2">B3/A3</f>
        <v>19.428571428571431</v>
      </c>
      <c r="G3" s="9">
        <f t="shared" ref="G3:G4" si="3">SQRT(F3*F3-D3*D3)</f>
        <v>18.689955920534882</v>
      </c>
    </row>
    <row r="4" spans="1:7" x14ac:dyDescent="0.3">
      <c r="A4">
        <v>0.9</v>
      </c>
      <c r="B4">
        <v>17.399999999999999</v>
      </c>
      <c r="C4">
        <v>4.2</v>
      </c>
      <c r="D4" s="8">
        <f t="shared" si="0"/>
        <v>5.1851851851851851</v>
      </c>
      <c r="E4" s="9">
        <f t="shared" si="1"/>
        <v>5.9285302384036627E-2</v>
      </c>
      <c r="F4" s="9">
        <f t="shared" si="2"/>
        <v>19.333333333333332</v>
      </c>
      <c r="G4" s="9">
        <f t="shared" si="3"/>
        <v>18.625027043553892</v>
      </c>
    </row>
    <row r="5" spans="1:7" x14ac:dyDescent="0.3">
      <c r="D5" s="8">
        <f>AVERAGE(D2:D4)</f>
        <v>5.2304358780549256</v>
      </c>
      <c r="E5" s="9">
        <f>AVERAGE(E2:E4)</f>
        <v>5.9423243211444349E-2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9304-0C6E-4EF9-9CBD-CF53513AF80F}">
  <dimension ref="A1:H5"/>
  <sheetViews>
    <sheetView tabSelected="1" topLeftCell="E1" workbookViewId="0">
      <selection activeCell="H6" sqref="H6"/>
    </sheetView>
  </sheetViews>
  <sheetFormatPr defaultRowHeight="14" x14ac:dyDescent="0.3"/>
  <sheetData>
    <row r="1" spans="1:8" x14ac:dyDescent="0.3">
      <c r="A1" t="s">
        <v>0</v>
      </c>
      <c r="B1" t="s">
        <v>2</v>
      </c>
      <c r="C1" t="s">
        <v>1</v>
      </c>
      <c r="D1" t="s">
        <v>10</v>
      </c>
      <c r="E1" t="s">
        <v>11</v>
      </c>
      <c r="F1" t="s">
        <v>12</v>
      </c>
      <c r="G1" t="s">
        <v>14</v>
      </c>
      <c r="H1" t="s">
        <v>13</v>
      </c>
    </row>
    <row r="2" spans="1:8" x14ac:dyDescent="0.3">
      <c r="A2">
        <v>0.5</v>
      </c>
      <c r="B2">
        <v>26.7</v>
      </c>
      <c r="C2">
        <v>138.6</v>
      </c>
      <c r="D2">
        <v>50</v>
      </c>
      <c r="E2">
        <v>136</v>
      </c>
      <c r="F2">
        <v>9</v>
      </c>
      <c r="G2" s="6">
        <f>B2/A2/A2</f>
        <v>106.8</v>
      </c>
      <c r="H2" s="6">
        <f>-SQRT((C2/A2)^2-(B2/A2^2)^2)</f>
        <v>-255.79992181390517</v>
      </c>
    </row>
    <row r="3" spans="1:8" x14ac:dyDescent="0.3">
      <c r="A3">
        <v>0.7</v>
      </c>
      <c r="B3">
        <v>52.2</v>
      </c>
      <c r="C3">
        <v>193.6</v>
      </c>
      <c r="D3">
        <v>70</v>
      </c>
      <c r="E3">
        <v>191</v>
      </c>
      <c r="F3">
        <v>12.5</v>
      </c>
      <c r="G3" s="6">
        <f t="shared" ref="G3:G4" si="0">B3/A3/A3</f>
        <v>106.53061224489798</v>
      </c>
      <c r="H3" s="6">
        <f t="shared" ref="H3:H4" si="1">-SQRT((C3/A3)^2-(B3/A3^2)^2)</f>
        <v>-255.23123585636614</v>
      </c>
    </row>
    <row r="4" spans="1:8" x14ac:dyDescent="0.3">
      <c r="A4">
        <v>0.9</v>
      </c>
      <c r="B4">
        <v>86.5</v>
      </c>
      <c r="C4">
        <v>249.6</v>
      </c>
      <c r="D4">
        <v>90</v>
      </c>
      <c r="E4">
        <v>245</v>
      </c>
      <c r="F4">
        <v>16.5</v>
      </c>
      <c r="G4" s="6">
        <f t="shared" si="0"/>
        <v>106.79012345679013</v>
      </c>
      <c r="H4" s="6">
        <f t="shared" si="1"/>
        <v>-255.9485247268702</v>
      </c>
    </row>
    <row r="5" spans="1:8" x14ac:dyDescent="0.3">
      <c r="G5" s="6">
        <f>AVERAGE(G2:G4)</f>
        <v>106.7069119005627</v>
      </c>
      <c r="H5" s="6">
        <f>AVERAGE(H2:H4)</f>
        <v>-255.65989413238051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AE01-844E-42DA-B350-F6AEAA9D1AC0}">
  <dimension ref="A1:H5"/>
  <sheetViews>
    <sheetView workbookViewId="0">
      <selection activeCell="E35" sqref="E35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6</v>
      </c>
      <c r="G1" t="s">
        <v>15</v>
      </c>
      <c r="H1" t="s">
        <v>7</v>
      </c>
    </row>
    <row r="2" spans="1:8" x14ac:dyDescent="0.3">
      <c r="A2">
        <v>0.5</v>
      </c>
      <c r="B2">
        <v>54.4</v>
      </c>
      <c r="C2">
        <v>50</v>
      </c>
      <c r="D2">
        <v>9</v>
      </c>
      <c r="E2" s="9">
        <f>-(C2^2+D2^2-B2^2)/(2*C2*D2)</f>
        <v>0.42039999999999966</v>
      </c>
      <c r="F2" s="7">
        <f>D2/A2*E2</f>
        <v>7.5671999999999944</v>
      </c>
      <c r="G2" s="8">
        <f>SQRT((D2/A2)^2-F2^2)</f>
        <v>16.332099808659024</v>
      </c>
      <c r="H2" s="9">
        <f>G2/(2*PI()*50)</f>
        <v>5.198668831236563E-2</v>
      </c>
    </row>
    <row r="3" spans="1:8" x14ac:dyDescent="0.3">
      <c r="A3">
        <v>0.7</v>
      </c>
      <c r="B3">
        <v>75.400000000000006</v>
      </c>
      <c r="C3">
        <v>69.5</v>
      </c>
      <c r="D3">
        <v>13</v>
      </c>
      <c r="E3" s="9">
        <f>-(C3^2+D3^2-B3^2)/(2*C3*D3)</f>
        <v>0.37958494742667448</v>
      </c>
      <c r="F3" s="7">
        <f t="shared" ref="F3:F4" si="0">D3/A3*E3</f>
        <v>7.0494347379239555</v>
      </c>
      <c r="G3" s="8">
        <f t="shared" ref="G3:G4" si="1">SQRT((D3/A3)^2-F3^2)</f>
        <v>17.181485065599674</v>
      </c>
      <c r="H3" s="9">
        <f t="shared" ref="H3:H4" si="2">G3/(2*PI()*50)</f>
        <v>5.4690365556995316E-2</v>
      </c>
    </row>
    <row r="4" spans="1:8" x14ac:dyDescent="0.3">
      <c r="A4">
        <v>0.9</v>
      </c>
      <c r="B4">
        <v>97.1</v>
      </c>
      <c r="C4">
        <v>90</v>
      </c>
      <c r="D4">
        <v>17</v>
      </c>
      <c r="E4" s="9">
        <f>-(C4^2+D4^2-B4^2)/(2*C4*D4)</f>
        <v>0.33967647058823464</v>
      </c>
      <c r="F4" s="7">
        <f t="shared" si="0"/>
        <v>6.4161111111110989</v>
      </c>
      <c r="G4" s="8">
        <f t="shared" si="1"/>
        <v>17.765799775598811</v>
      </c>
      <c r="H4" s="9">
        <f t="shared" si="2"/>
        <v>5.6550297045348717E-2</v>
      </c>
    </row>
    <row r="5" spans="1:8" x14ac:dyDescent="0.3">
      <c r="F5" s="7">
        <f>AVERAGE(F2:F4)</f>
        <v>7.0109152830116832</v>
      </c>
      <c r="H5" s="9">
        <f>AVERAGE(H2:H4)</f>
        <v>5.4409116971569887E-2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Sun</dc:creator>
  <cp:lastModifiedBy>Murphy Sun</cp:lastModifiedBy>
  <dcterms:created xsi:type="dcterms:W3CDTF">2015-06-05T18:19:34Z</dcterms:created>
  <dcterms:modified xsi:type="dcterms:W3CDTF">2025-12-05T07:26:07Z</dcterms:modified>
</cp:coreProperties>
</file>